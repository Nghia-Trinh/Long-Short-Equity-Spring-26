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L" sheetId="1" state="visible" r:id="rId3"/>
    <sheet name="CRCL" sheetId="2" state="visible" r:id="rId4"/>
    <sheet name="GD" sheetId="3" state="visible" r:id="rId5"/>
    <sheet name="CEG" sheetId="4" state="visible" r:id="rId6"/>
    <sheet name="APLD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<sst xmlns="http://schemas.openxmlformats.org/spreadsheetml/2006/main" count="193" uniqueCount="129">
  <si>
    <t xml:space="preserve">DELTA AIR LINES (DAL) — Price Target Derivation</t>
  </si>
  <si>
    <t xml:space="preserve">Key Assumptions (Hardcoded Inputs)</t>
  </si>
  <si>
    <t xml:space="preserve">Current Price</t>
  </si>
  <si>
    <t xml:space="preserve">Source: NYSE, 3/26/2026</t>
  </si>
  <si>
    <t xml:space="preserve">Shares Outstanding (M)</t>
  </si>
  <si>
    <t xml:space="preserve">Source: StockAnalysis, 3/2026</t>
  </si>
  <si>
    <t xml:space="preserve">FY2025 Adj. EPS</t>
  </si>
  <si>
    <t xml:space="preserve">Source: DAL 8-K, 1/13/2026 (Non-GAAP)</t>
  </si>
  <si>
    <t xml:space="preserve">FY2026E Consensus EPS</t>
  </si>
  <si>
    <t xml:space="preserve">Source: FactSet/TIKR consensus, 3/2026</t>
  </si>
  <si>
    <t xml:space="preserve">FY2025 EBITDA ($M)</t>
  </si>
  <si>
    <t xml:space="preserve">Source: GuruFocus TTM, 3/2026</t>
  </si>
  <si>
    <t xml:space="preserve">Net Debt ($M)</t>
  </si>
  <si>
    <t xml:space="preserve">Source: DAL 8-K adj. net debt, 1/13/2026</t>
  </si>
  <si>
    <t xml:space="preserve">FY2025 FCF ($M)</t>
  </si>
  <si>
    <t xml:space="preserve">Source: DAL 8-K, 1/13/2026</t>
  </si>
  <si>
    <t xml:space="preserve">Dividend Per Share</t>
  </si>
  <si>
    <t xml:space="preserve">P/E Valuation</t>
  </si>
  <si>
    <t xml:space="preserve">Scenario</t>
  </si>
  <si>
    <t xml:space="preserve">Fwd P/E Multiple</t>
  </si>
  <si>
    <t xml:space="preserve">x FY26E EPS</t>
  </si>
  <si>
    <t xml:space="preserve">Implied Price</t>
  </si>
  <si>
    <t xml:space="preserve">Upside/Downside</t>
  </si>
  <si>
    <t xml:space="preserve">Bear (peer discount)</t>
  </si>
  <si>
    <t xml:space="preserve">Base (current multiple)</t>
  </si>
  <si>
    <t xml:space="preserve">Bull (5-yr avg revert)</t>
  </si>
  <si>
    <t xml:space="preserve">EV/EBITDA Valuation</t>
  </si>
  <si>
    <t xml:space="preserve">EV/EBITDA</t>
  </si>
  <si>
    <t xml:space="preserve">x EBITDA ($M)</t>
  </si>
  <si>
    <t xml:space="preserve">Impl. EV ($M)</t>
  </si>
  <si>
    <t xml:space="preserve">- Net Debt</t>
  </si>
  <si>
    <t xml:space="preserve">/ Shares = Price</t>
  </si>
  <si>
    <t xml:space="preserve">Bear</t>
  </si>
  <si>
    <t xml:space="preserve">Base</t>
  </si>
  <si>
    <t xml:space="preserve">Bull</t>
  </si>
  <si>
    <t xml:space="preserve">FCF Yield Valuation</t>
  </si>
  <si>
    <t xml:space="preserve">Target FCF Yield</t>
  </si>
  <si>
    <t xml:space="preserve">FCF ($M)</t>
  </si>
  <si>
    <t xml:space="preserve">Impl. Eq Val ($M)</t>
  </si>
  <si>
    <t xml:space="preserve">/ Shares</t>
  </si>
  <si>
    <t xml:space="preserve">Price</t>
  </si>
  <si>
    <t xml:space="preserve">Bear (8%)</t>
  </si>
  <si>
    <t xml:space="preserve">Base (6%)</t>
  </si>
  <si>
    <t xml:space="preserve">Bull (5%)</t>
  </si>
  <si>
    <t xml:space="preserve">Blended Target</t>
  </si>
  <si>
    <t xml:space="preserve">Average of Base-Case Scenarios</t>
  </si>
  <si>
    <t xml:space="preserve">Blended avg of P/E, EV/EBITDA, and FCF yield base cases</t>
  </si>
  <si>
    <t xml:space="preserve">CIRCLE INTERNET GROUP (CRCL) — Price Target Derivation</t>
  </si>
  <si>
    <t xml:space="preserve">Key Assumptions</t>
  </si>
  <si>
    <t xml:space="preserve">Source: NYSE, 3/27/2026</t>
  </si>
  <si>
    <t xml:space="preserve">FY2025 Adj. EBITDA ($M)</t>
  </si>
  <si>
    <t xml:space="preserve">Source: Circle 8-K, 2/25/2026</t>
  </si>
  <si>
    <t xml:space="preserve">FY2026E Adj. EBITDA ($M)</t>
  </si>
  <si>
    <t xml:space="preserve">Source: Estimate based on consensus trajectory</t>
  </si>
  <si>
    <t xml:space="preserve">FY2027E Adj. EBITDA ($M, Mizuho)</t>
  </si>
  <si>
    <t xml:space="preserve">Source: Mizuho, 3/2026 PT report</t>
  </si>
  <si>
    <t xml:space="preserve">Net Cash ($M)</t>
  </si>
  <si>
    <t xml:space="preserve">Source: StockAnalysis ($1.53B cash - $51M debt)</t>
  </si>
  <si>
    <t xml:space="preserve">FY2025 Revenue ($M)</t>
  </si>
  <si>
    <t xml:space="preserve">USDC Circulation ($B, YE25)</t>
  </si>
  <si>
    <t xml:space="preserve">Scenario Valuation (EV/EBITDA Framework)</t>
  </si>
  <si>
    <t xml:space="preserve">EV ($M)</t>
  </si>
  <si>
    <t xml:space="preserve">+ Net Cash</t>
  </si>
  <si>
    <t xml:space="preserve">Speculative Crypto Proxy</t>
  </si>
  <si>
    <t xml:space="preserve">Rate-Sensitive Reserve Vehicle (FY26E)</t>
  </si>
  <si>
    <t xml:space="preserve">High-Growth Fintech/Infra (FY27E)</t>
  </si>
  <si>
    <t xml:space="preserve">Implied Price Range Summary</t>
  </si>
  <si>
    <t xml:space="preserve">Bear / Base / Bull</t>
  </si>
  <si>
    <t xml:space="preserve">GENERAL DYNAMICS (GD) — Price Target Derivation</t>
  </si>
  <si>
    <t xml:space="preserve">FY2025 EPS</t>
  </si>
  <si>
    <t xml:space="preserve">Source: GD 8-K, 1/28/2026</t>
  </si>
  <si>
    <t xml:space="preserve">FY2026E EPS (mid-guide)</t>
  </si>
  <si>
    <t xml:space="preserve">Source: GD FY26 guidance midpoint ($16.10-$16.20)</t>
  </si>
  <si>
    <t xml:space="preserve">Enterprise Value ($M)</t>
  </si>
  <si>
    <t xml:space="preserve">Source: GuruFocus, 3/2026</t>
  </si>
  <si>
    <t xml:space="preserve">FY2025 Operating Cash Flow ($M)</t>
  </si>
  <si>
    <t xml:space="preserve">Capex ($M)</t>
  </si>
  <si>
    <t xml:space="preserve">Source: GD 8-K (cash $2.3B, debt ~$8B)</t>
  </si>
  <si>
    <t xml:space="preserve">Fwd P/E</t>
  </si>
  <si>
    <t xml:space="preserve">Bear (discount to LMT)</t>
  </si>
  <si>
    <t xml:space="preserve">Base (in-line)</t>
  </si>
  <si>
    <t xml:space="preserve">Bull (revert to 24x)</t>
  </si>
  <si>
    <t xml:space="preserve">Blended Base-Case Target</t>
  </si>
  <si>
    <t xml:space="preserve">Average of Base Cases (P/E + EV/EBITDA)</t>
  </si>
  <si>
    <t xml:space="preserve">CONSTELLATION ENERGY (CEG) — Price Target Derivation</t>
  </si>
  <si>
    <t xml:space="preserve">Source: NASDAQ, 3/2026</t>
  </si>
  <si>
    <t xml:space="preserve">Shares Out (M, post-Calpine dilution)</t>
  </si>
  <si>
    <t xml:space="preserve">Source: Est. ~311M standalone + ~50M Calpine shares</t>
  </si>
  <si>
    <t xml:space="preserve">FY2025 Adj. Operating EPS</t>
  </si>
  <si>
    <t xml:space="preserve">Source: CEG 8-K, FY2025 results</t>
  </si>
  <si>
    <t xml:space="preserve">Source: TIKR/FactSet consensus, 3/2026</t>
  </si>
  <si>
    <t xml:space="preserve">FY2026E Revenue ($M, pro forma)</t>
  </si>
  <si>
    <t xml:space="preserve">Source: TIKR consensus (standalone $25.5B + Calpine ~$11B)</t>
  </si>
  <si>
    <t xml:space="preserve">FY2026E EBITDA ($M, est.)</t>
  </si>
  <si>
    <t xml:space="preserve">Source: Est. 21.4% EBITDA margin on $36.6B rev (TIKR)</t>
  </si>
  <si>
    <t xml:space="preserve">Enterprise Value ($M, est.)</t>
  </si>
  <si>
    <t xml:space="preserve">Source: Estimate based on mkt cap + net debt post-Calpine</t>
  </si>
  <si>
    <t xml:space="preserve">Calpine EPS Accretion (annual)</t>
  </si>
  <si>
    <t xml:space="preserve">Source: CEG 8-K, Calpine acquisition presentation</t>
  </si>
  <si>
    <t xml:space="preserve">Bear (utility re-rate)</t>
  </si>
  <si>
    <t xml:space="preserve">Base (current)</t>
  </si>
  <si>
    <t xml:space="preserve">Bull (infra premium)</t>
  </si>
  <si>
    <t xml:space="preserve">- EV less Eq</t>
  </si>
  <si>
    <t xml:space="preserve">Average of Base Cases</t>
  </si>
  <si>
    <t xml:space="preserve">APPLIED DIGITAL (APLD) — Price Target Derivation</t>
  </si>
  <si>
    <t xml:space="preserve">Source: NASDAQ, 3/27/2026</t>
  </si>
  <si>
    <t xml:space="preserve">FY27E Revenue ($M, consensus)</t>
  </si>
  <si>
    <t xml:space="preserve">Source: Consensus est. ~$541-553M (Kavout/Trefis)</t>
  </si>
  <si>
    <t xml:space="preserve">Leased Capacity (MW)</t>
  </si>
  <si>
    <t xml:space="preserve">Source: APLD 8-K, Q2 FY26</t>
  </si>
  <si>
    <t xml:space="preserve">Prospective Lease Revenue ($B)</t>
  </si>
  <si>
    <t xml:space="preserve">Source: APLD 8-K, Q2 FY26 (600MW x ~$16B)</t>
  </si>
  <si>
    <t xml:space="preserve">Target Stabilized NOI ($M, mgmt)</t>
  </si>
  <si>
    <t xml:space="preserve">Source: APLD mgmt, Polaris Forge 1 at full capacity</t>
  </si>
  <si>
    <t xml:space="preserve">Total Debt ($M)</t>
  </si>
  <si>
    <t xml:space="preserve">Source: APLD Q2 FY26 ($2.6B + $2.15B notes)</t>
  </si>
  <si>
    <t xml:space="preserve">Cash &amp; Restricted Cash ($M)</t>
  </si>
  <si>
    <t xml:space="preserve">Scenario Valuation</t>
  </si>
  <si>
    <t xml:space="preserve">Method</t>
  </si>
  <si>
    <t xml:space="preserve">Multiple / Rate</t>
  </si>
  <si>
    <t xml:space="preserve">x Metric</t>
  </si>
  <si>
    <t xml:space="preserve">Eq. Val ($M)</t>
  </si>
  <si>
    <t xml:space="preserve">Speculative Developer</t>
  </si>
  <si>
    <t xml:space="preserve">EV/Rev (FY27E)</t>
  </si>
  <si>
    <t xml:space="preserve">Emerging AI Infra Landlord</t>
  </si>
  <si>
    <t xml:space="preserve">Cap Rate on Stab. NOI</t>
  </si>
  <si>
    <t xml:space="preserve">Strategic Asset (EV/MW)</t>
  </si>
  <si>
    <t xml:space="preserve">EV per MW ($M)</t>
  </si>
  <si>
    <t xml:space="preserve">Implied Price Range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</si>
</sst>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\$#,##0.00"/>
    <numFmt numFmtId="166" formatCode="#,##0"/>
    <numFmt numFmtId="167" formatCode="0.0\x"/>
    <numFmt numFmtId="168" formatCode="0.0%"/>
    <numFmt numFmtId="169" formatCode="#,##0.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B2A4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8"/>
      <color rgb="FF80808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EBF0F7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1B2A4A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EC5"/>
      </left>
      <right style="thin">
        <color rgb="FFB0BEC5"/>
      </right>
      <top style="thin">
        <color rgb="FFB0BEC5"/>
      </top>
      <bottom style="thin">
        <color rgb="FFB0BEC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3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EC5"/>
      <rgbColor rgb="FF808080"/>
      <rgbColor rgb="FF9999FF"/>
      <rgbColor rgb="FF993366"/>
      <rgbColor rgb="FFFFFFCC"/>
      <rgbColor rgb="FFEBF0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0</v>
      </c>
      <c r="B1" s="3"/>
      <c r="C1" s="3"/>
      <c r="D1" s="3"/>
      <c r="E1" s="3"/>
      <c r="F1" s="3"/>
    </row>
    <row r="3" customFormat="false" ht="15" hidden="false" customHeight="true" outlineLevel="0" collapsed="false">
      <c r="A3" s="2" t="s">
        <v>1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n">
        <v>67.25</v>
      </c>
      <c r="F4" s="6" t="s">
        <v>3</v>
      </c>
    </row>
    <row r="5" customFormat="false" ht="15" hidden="false" customHeight="true" outlineLevel="0" collapsed="false">
      <c r="A5" s="4" t="s">
        <v>4</v>
      </c>
      <c r="B5" s="7" t="n">
        <v>649.6</v>
      </c>
      <c r="F5" s="6" t="s">
        <v>5</v>
      </c>
    </row>
    <row r="6" customFormat="false" ht="15" hidden="false" customHeight="true" outlineLevel="0" collapsed="false">
      <c r="A6" s="4" t="s">
        <v>6</v>
      </c>
      <c r="B6" s="5" t="n">
        <v>5.82</v>
      </c>
      <c r="F6" s="6" t="s">
        <v>7</v>
      </c>
    </row>
    <row r="7" customFormat="false" ht="15" hidden="false" customHeight="true" outlineLevel="0" collapsed="false">
      <c r="A7" s="4" t="s">
        <v>8</v>
      </c>
      <c r="B7" s="5" t="n">
        <v>7.2</v>
      </c>
      <c r="F7" s="6" t="s">
        <v>9</v>
      </c>
    </row>
    <row r="8" customFormat="false" ht="15" hidden="false" customHeight="true" outlineLevel="0" collapsed="false">
      <c r="A8" s="4" t="s">
        <v>10</v>
      </c>
      <c r="B8" s="7" t="n">
        <v>6864</v>
      </c>
      <c r="F8" s="6" t="s">
        <v>11</v>
      </c>
    </row>
    <row r="9" customFormat="false" ht="15" hidden="false" customHeight="true" outlineLevel="0" collapsed="false">
      <c r="A9" s="4" t="s">
        <v>12</v>
      </c>
      <c r="B9" s="7" t="n">
        <v>14300</v>
      </c>
      <c r="F9" s="6" t="s">
        <v>13</v>
      </c>
    </row>
    <row r="10" customFormat="false" ht="15" hidden="false" customHeight="true" outlineLevel="0" collapsed="false">
      <c r="A10" s="4" t="s">
        <v>14</v>
      </c>
      <c r="B10" s="7" t="n">
        <v>4600</v>
      </c>
      <c r="F10" s="6" t="s">
        <v>15</v>
      </c>
    </row>
    <row r="11" customFormat="false" ht="15" hidden="false" customHeight="true" outlineLevel="0" collapsed="false">
      <c r="A11" s="4" t="s">
        <v>16</v>
      </c>
      <c r="B11" s="5" t="n">
        <v>1</v>
      </c>
      <c r="F11" s="6" t="s">
        <v>5</v>
      </c>
    </row>
    <row r="13" customFormat="false" ht="15" hidden="false" customHeight="true" outlineLevel="0" collapsed="false">
      <c r="A13" s="2" t="s">
        <v>17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8" t="s">
        <v>18</v>
      </c>
      <c r="B14" s="8" t="s">
        <v>19</v>
      </c>
      <c r="C14" s="8" t="s">
        <v>20</v>
      </c>
      <c r="D14" s="8" t="s">
        <v>21</v>
      </c>
      <c r="E14" s="8" t="s">
        <v>22</v>
      </c>
    </row>
    <row r="15" customFormat="false" ht="15" hidden="false" customHeight="true" outlineLevel="0" collapsed="false">
      <c r="A15" s="4" t="s">
        <v>23</v>
      </c>
      <c r="B15" s="9" t="n">
        <v>8</v>
      </c>
      <c r="C15" s="10" t="n">
        <f aca="false">$B$7</f>
        <v>7.2</v>
      </c>
      <c r="D15" s="10" t="n">
        <f aca="false">B15*C15</f>
        <v>57.6</v>
      </c>
      <c r="E15" s="11" t="n">
        <f aca="false">(D15-$B$4)/$B$4</f>
        <v>-0.143494423791822</v>
      </c>
    </row>
    <row r="16" customFormat="false" ht="15" hidden="false" customHeight="true" outlineLevel="0" collapsed="false">
      <c r="A16" s="4" t="s">
        <v>24</v>
      </c>
      <c r="B16" s="9" t="n">
        <v>9.3</v>
      </c>
      <c r="C16" s="10" t="n">
        <f aca="false">$B$7</f>
        <v>7.2</v>
      </c>
      <c r="D16" s="10" t="n">
        <f aca="false">B16*C16</f>
        <v>66.96</v>
      </c>
      <c r="E16" s="11" t="n">
        <f aca="false">(D16-$B$4)/$B$4</f>
        <v>-0.00431226765799245</v>
      </c>
    </row>
    <row r="17" customFormat="false" ht="15" hidden="false" customHeight="true" outlineLevel="0" collapsed="false">
      <c r="A17" s="4" t="s">
        <v>25</v>
      </c>
      <c r="B17" s="9" t="n">
        <v>11</v>
      </c>
      <c r="C17" s="10" t="n">
        <f aca="false">$B$7</f>
        <v>7.2</v>
      </c>
      <c r="D17" s="10" t="n">
        <f aca="false">B17*C17</f>
        <v>79.2</v>
      </c>
      <c r="E17" s="11" t="n">
        <f aca="false">(D17-$B$4)/$B$4</f>
        <v>0.177695167286245</v>
      </c>
    </row>
    <row r="19" customFormat="false" ht="15" hidden="false" customHeight="true" outlineLevel="0" collapsed="false">
      <c r="A19" s="2" t="s">
        <v>26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8" t="s">
        <v>18</v>
      </c>
      <c r="B20" s="8" t="s">
        <v>27</v>
      </c>
      <c r="C20" s="8" t="s">
        <v>28</v>
      </c>
      <c r="D20" s="8" t="s">
        <v>29</v>
      </c>
      <c r="E20" s="8" t="s">
        <v>30</v>
      </c>
      <c r="F20" s="8" t="s">
        <v>31</v>
      </c>
    </row>
    <row r="21" customFormat="false" ht="15" hidden="false" customHeight="true" outlineLevel="0" collapsed="false">
      <c r="A21" s="4" t="s">
        <v>32</v>
      </c>
      <c r="B21" s="9" t="n">
        <v>7</v>
      </c>
      <c r="C21" s="12" t="n">
        <f aca="false">$B$8</f>
        <v>6864</v>
      </c>
      <c r="D21" s="12" t="n">
        <f aca="false">B21*C21</f>
        <v>48048</v>
      </c>
      <c r="E21" s="12" t="n">
        <f aca="false">$B$9</f>
        <v>14300</v>
      </c>
      <c r="F21" s="10" t="n">
        <f aca="false">(D21-E21)/$B$5</f>
        <v>51.9519704433498</v>
      </c>
    </row>
    <row r="22" customFormat="false" ht="15" hidden="false" customHeight="true" outlineLevel="0" collapsed="false">
      <c r="A22" s="4" t="s">
        <v>33</v>
      </c>
      <c r="B22" s="9" t="n">
        <v>8.7</v>
      </c>
      <c r="C22" s="12" t="n">
        <f aca="false">$B$8</f>
        <v>6864</v>
      </c>
      <c r="D22" s="12" t="n">
        <f aca="false">B22*C22</f>
        <v>59716.8</v>
      </c>
      <c r="E22" s="12" t="n">
        <f aca="false">$B$9</f>
        <v>14300</v>
      </c>
      <c r="F22" s="10" t="n">
        <f aca="false">(D22-E22)/$B$5</f>
        <v>69.9150246305419</v>
      </c>
    </row>
    <row r="23" customFormat="false" ht="15" hidden="false" customHeight="true" outlineLevel="0" collapsed="false">
      <c r="A23" s="4" t="s">
        <v>34</v>
      </c>
      <c r="B23" s="9" t="n">
        <v>10.5</v>
      </c>
      <c r="C23" s="12" t="n">
        <f aca="false">$B$8</f>
        <v>6864</v>
      </c>
      <c r="D23" s="12" t="n">
        <f aca="false">B23*C23</f>
        <v>72072</v>
      </c>
      <c r="E23" s="12" t="n">
        <f aca="false">$B$9</f>
        <v>14300</v>
      </c>
      <c r="F23" s="10" t="n">
        <f aca="false">(D23-E23)/$B$5</f>
        <v>88.9347290640394</v>
      </c>
    </row>
    <row r="25" customFormat="false" ht="15" hidden="false" customHeight="true" outlineLevel="0" collapsed="false">
      <c r="A25" s="2" t="s">
        <v>35</v>
      </c>
      <c r="B25" s="3"/>
      <c r="C25" s="3"/>
      <c r="D25" s="3"/>
      <c r="E25" s="3"/>
      <c r="F25" s="3"/>
    </row>
    <row r="26" customFormat="false" ht="15" hidden="false" customHeight="true" outlineLevel="0" collapsed="false">
      <c r="A26" s="8" t="s">
        <v>18</v>
      </c>
      <c r="B26" s="8" t="s">
        <v>36</v>
      </c>
      <c r="C26" s="8" t="s">
        <v>37</v>
      </c>
      <c r="D26" s="8" t="s">
        <v>38</v>
      </c>
      <c r="E26" s="8" t="s">
        <v>39</v>
      </c>
      <c r="F26" s="8" t="s">
        <v>40</v>
      </c>
    </row>
    <row r="27" customFormat="false" ht="15" hidden="false" customHeight="true" outlineLevel="0" collapsed="false">
      <c r="A27" s="4" t="s">
        <v>41</v>
      </c>
      <c r="B27" s="13" t="n">
        <v>0.08</v>
      </c>
      <c r="C27" s="12" t="n">
        <f aca="false">$B$10</f>
        <v>4600</v>
      </c>
      <c r="D27" s="12" t="n">
        <f aca="false">C27/B27</f>
        <v>57500</v>
      </c>
      <c r="E27" s="12" t="n">
        <f aca="false">$B$5</f>
        <v>649.6</v>
      </c>
      <c r="F27" s="10" t="n">
        <f aca="false">D27/E27</f>
        <v>88.5160098522167</v>
      </c>
    </row>
    <row r="28" customFormat="false" ht="15" hidden="false" customHeight="true" outlineLevel="0" collapsed="false">
      <c r="A28" s="4" t="s">
        <v>42</v>
      </c>
      <c r="B28" s="13" t="n">
        <v>0.06</v>
      </c>
      <c r="C28" s="12" t="n">
        <f aca="false">$B$10</f>
        <v>4600</v>
      </c>
      <c r="D28" s="12" t="n">
        <f aca="false">C28/B28</f>
        <v>76666.6666666667</v>
      </c>
      <c r="E28" s="12" t="n">
        <f aca="false">$B$5</f>
        <v>649.6</v>
      </c>
      <c r="F28" s="10" t="n">
        <f aca="false">D28/E28</f>
        <v>118.021346469622</v>
      </c>
    </row>
    <row r="29" customFormat="false" ht="15" hidden="false" customHeight="true" outlineLevel="0" collapsed="false">
      <c r="A29" s="4" t="s">
        <v>43</v>
      </c>
      <c r="B29" s="13" t="n">
        <v>0.05</v>
      </c>
      <c r="C29" s="12" t="n">
        <f aca="false">$B$10</f>
        <v>4600</v>
      </c>
      <c r="D29" s="12" t="n">
        <f aca="false">C29/B29</f>
        <v>92000</v>
      </c>
      <c r="E29" s="12" t="n">
        <f aca="false">$B$5</f>
        <v>649.6</v>
      </c>
      <c r="F29" s="10" t="n">
        <f aca="false">D29/E29</f>
        <v>141.625615763547</v>
      </c>
    </row>
    <row r="31" customFormat="false" ht="15" hidden="false" customHeight="true" outlineLevel="0" collapsed="false">
      <c r="A31" s="2" t="s">
        <v>44</v>
      </c>
      <c r="B31" s="3"/>
      <c r="C31" s="3"/>
      <c r="D31" s="3"/>
      <c r="E31" s="3"/>
      <c r="F31" s="3"/>
    </row>
    <row r="32" customFormat="false" ht="15" hidden="false" customHeight="true" outlineLevel="0" collapsed="false">
      <c r="A32" s="4" t="s">
        <v>45</v>
      </c>
      <c r="B32" s="14" t="n">
        <f aca="false">AVERAGE(D18,F24,F28)</f>
        <v>118.021346469622</v>
      </c>
      <c r="F32" s="6" t="s">
        <v>46</v>
      </c>
    </row>
    <row r="33" customFormat="false" ht="15" hidden="false" customHeight="false" outlineLevel="0" collapsed="false">
      <c r="B33" s="1" t="n">
        <f aca="false">AVERAGE(D16,F22,F28)</f>
        <v>84.9654570333881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47</v>
      </c>
      <c r="B1" s="3"/>
      <c r="C1" s="3"/>
      <c r="D1" s="3"/>
      <c r="E1" s="3"/>
      <c r="F1" s="3"/>
    </row>
    <row r="3" customFormat="false" ht="15" hidden="false" customHeight="true" outlineLevel="0" collapsed="false">
      <c r="A3" s="2" t="s">
        <v>48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n">
        <v>97.6</v>
      </c>
      <c r="F4" s="6" t="s">
        <v>49</v>
      </c>
    </row>
    <row r="5" customFormat="false" ht="15" hidden="false" customHeight="true" outlineLevel="0" collapsed="false">
      <c r="A5" s="4" t="s">
        <v>4</v>
      </c>
      <c r="B5" s="7" t="n">
        <v>246.8</v>
      </c>
      <c r="F5" s="6" t="s">
        <v>5</v>
      </c>
    </row>
    <row r="6" customFormat="false" ht="15" hidden="false" customHeight="true" outlineLevel="0" collapsed="false">
      <c r="A6" s="4" t="s">
        <v>50</v>
      </c>
      <c r="B6" s="7" t="n">
        <v>582</v>
      </c>
      <c r="F6" s="6" t="s">
        <v>51</v>
      </c>
    </row>
    <row r="7" customFormat="false" ht="15" hidden="false" customHeight="true" outlineLevel="0" collapsed="false">
      <c r="A7" s="4" t="s">
        <v>52</v>
      </c>
      <c r="B7" s="7" t="n">
        <v>800</v>
      </c>
      <c r="F7" s="6" t="s">
        <v>53</v>
      </c>
    </row>
    <row r="8" customFormat="false" ht="15" hidden="false" customHeight="true" outlineLevel="0" collapsed="false">
      <c r="A8" s="4" t="s">
        <v>54</v>
      </c>
      <c r="B8" s="7" t="n">
        <v>1119</v>
      </c>
      <c r="F8" s="6" t="s">
        <v>55</v>
      </c>
    </row>
    <row r="9" customFormat="false" ht="15" hidden="false" customHeight="true" outlineLevel="0" collapsed="false">
      <c r="A9" s="4" t="s">
        <v>56</v>
      </c>
      <c r="B9" s="7" t="n">
        <v>1470</v>
      </c>
      <c r="F9" s="6" t="s">
        <v>57</v>
      </c>
    </row>
    <row r="10" customFormat="false" ht="15" hidden="false" customHeight="true" outlineLevel="0" collapsed="false">
      <c r="A10" s="4" t="s">
        <v>58</v>
      </c>
      <c r="B10" s="7" t="n">
        <v>2747</v>
      </c>
      <c r="F10" s="6" t="s">
        <v>51</v>
      </c>
    </row>
    <row r="11" customFormat="false" ht="15" hidden="false" customHeight="true" outlineLevel="0" collapsed="false">
      <c r="A11" s="4" t="s">
        <v>59</v>
      </c>
      <c r="B11" s="15" t="n">
        <v>75.3</v>
      </c>
      <c r="F11" s="6" t="s">
        <v>51</v>
      </c>
    </row>
    <row r="13" customFormat="false" ht="15" hidden="false" customHeight="true" outlineLevel="0" collapsed="false">
      <c r="A13" s="2" t="s">
        <v>60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8" t="s">
        <v>18</v>
      </c>
      <c r="B14" s="8" t="s">
        <v>27</v>
      </c>
      <c r="C14" s="8" t="s">
        <v>28</v>
      </c>
      <c r="D14" s="8" t="s">
        <v>61</v>
      </c>
      <c r="E14" s="8" t="s">
        <v>62</v>
      </c>
      <c r="F14" s="8" t="s">
        <v>31</v>
      </c>
    </row>
    <row r="15" customFormat="false" ht="15" hidden="false" customHeight="true" outlineLevel="0" collapsed="false">
      <c r="A15" s="4" t="s">
        <v>63</v>
      </c>
      <c r="B15" s="9" t="n">
        <v>12</v>
      </c>
      <c r="C15" s="12" t="n">
        <f aca="false">$B$6</f>
        <v>582</v>
      </c>
      <c r="D15" s="12" t="n">
        <f aca="false">B15*C15</f>
        <v>6984</v>
      </c>
      <c r="E15" s="12" t="n">
        <f aca="false">$B$9</f>
        <v>1470</v>
      </c>
      <c r="F15" s="10" t="n">
        <f aca="false">(D15+E15)/$B$5</f>
        <v>34.2544570502431</v>
      </c>
    </row>
    <row r="16" customFormat="false" ht="15" hidden="false" customHeight="true" outlineLevel="0" collapsed="false">
      <c r="A16" s="4" t="s">
        <v>64</v>
      </c>
      <c r="B16" s="9" t="n">
        <v>22</v>
      </c>
      <c r="C16" s="12" t="n">
        <f aca="false">$B$7</f>
        <v>800</v>
      </c>
      <c r="D16" s="12" t="n">
        <f aca="false">B16*C16</f>
        <v>17600</v>
      </c>
      <c r="E16" s="12" t="n">
        <f aca="false">$B$9</f>
        <v>1470</v>
      </c>
      <c r="F16" s="10" t="n">
        <f aca="false">(D16+E16)/$B$5</f>
        <v>77.2690437601297</v>
      </c>
    </row>
    <row r="17" customFormat="false" ht="15" hidden="false" customHeight="true" outlineLevel="0" collapsed="false">
      <c r="A17" s="4" t="s">
        <v>65</v>
      </c>
      <c r="B17" s="9" t="n">
        <v>35</v>
      </c>
      <c r="C17" s="12" t="n">
        <f aca="false">$B$8</f>
        <v>1119</v>
      </c>
      <c r="D17" s="12" t="n">
        <f aca="false">B17*C17</f>
        <v>39165</v>
      </c>
      <c r="E17" s="12" t="n">
        <f aca="false">$B$9</f>
        <v>1470</v>
      </c>
      <c r="F17" s="10" t="n">
        <f aca="false">(D17+E17)/$B$5</f>
        <v>164.647487844408</v>
      </c>
    </row>
    <row r="19" customFormat="false" ht="15" hidden="false" customHeight="true" outlineLevel="0" collapsed="false">
      <c r="A19" s="2" t="s">
        <v>66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4" t="s">
        <v>67</v>
      </c>
      <c r="B20" s="14" t="n">
        <f aca="false">F15</f>
        <v>34.2544570502431</v>
      </c>
      <c r="C20" s="14" t="n">
        <f aca="false">F16</f>
        <v>77.2690437601297</v>
      </c>
      <c r="D20" s="14" t="n">
        <f aca="false">F17</f>
        <v>164.647487844408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8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68</v>
      </c>
      <c r="B1" s="3"/>
      <c r="C1" s="3"/>
      <c r="D1" s="3"/>
      <c r="E1" s="3"/>
      <c r="F1" s="3"/>
    </row>
    <row r="3" customFormat="false" ht="15" hidden="false" customHeight="true" outlineLevel="0" collapsed="false">
      <c r="A3" s="2" t="s">
        <v>48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n">
        <v>349</v>
      </c>
      <c r="F4" s="6" t="s">
        <v>49</v>
      </c>
    </row>
    <row r="5" customFormat="false" ht="15" hidden="false" customHeight="true" outlineLevel="0" collapsed="false">
      <c r="A5" s="4" t="s">
        <v>4</v>
      </c>
      <c r="B5" s="7" t="n">
        <v>270.4</v>
      </c>
      <c r="F5" s="6" t="s">
        <v>5</v>
      </c>
    </row>
    <row r="6" customFormat="false" ht="15" hidden="false" customHeight="true" outlineLevel="0" collapsed="false">
      <c r="A6" s="4" t="s">
        <v>69</v>
      </c>
      <c r="B6" s="5" t="n">
        <v>15.45</v>
      </c>
      <c r="F6" s="6" t="s">
        <v>70</v>
      </c>
    </row>
    <row r="7" customFormat="false" ht="15" hidden="false" customHeight="true" outlineLevel="0" collapsed="false">
      <c r="A7" s="4" t="s">
        <v>71</v>
      </c>
      <c r="B7" s="5" t="n">
        <v>16.15</v>
      </c>
      <c r="F7" s="6" t="s">
        <v>72</v>
      </c>
    </row>
    <row r="8" customFormat="false" ht="15" hidden="false" customHeight="true" outlineLevel="0" collapsed="false">
      <c r="A8" s="4" t="s">
        <v>10</v>
      </c>
      <c r="B8" s="7" t="n">
        <v>6429</v>
      </c>
      <c r="F8" s="6" t="s">
        <v>11</v>
      </c>
    </row>
    <row r="9" customFormat="false" ht="15" hidden="false" customHeight="true" outlineLevel="0" collapsed="false">
      <c r="A9" s="4" t="s">
        <v>73</v>
      </c>
      <c r="B9" s="7" t="n">
        <v>102858</v>
      </c>
      <c r="F9" s="6" t="s">
        <v>74</v>
      </c>
    </row>
    <row r="10" customFormat="false" ht="15" hidden="false" customHeight="true" outlineLevel="0" collapsed="false">
      <c r="A10" s="4" t="s">
        <v>75</v>
      </c>
      <c r="B10" s="7" t="n">
        <v>5100</v>
      </c>
      <c r="F10" s="6" t="s">
        <v>70</v>
      </c>
    </row>
    <row r="11" customFormat="false" ht="15" hidden="false" customHeight="true" outlineLevel="0" collapsed="false">
      <c r="A11" s="4" t="s">
        <v>76</v>
      </c>
      <c r="B11" s="7" t="n">
        <v>1200</v>
      </c>
      <c r="F11" s="6" t="s">
        <v>70</v>
      </c>
    </row>
    <row r="12" customFormat="false" ht="15" hidden="false" customHeight="true" outlineLevel="0" collapsed="false">
      <c r="A12" s="4" t="s">
        <v>12</v>
      </c>
      <c r="B12" s="7" t="n">
        <v>5700</v>
      </c>
      <c r="F12" s="6" t="s">
        <v>77</v>
      </c>
    </row>
    <row r="14" customFormat="false" ht="15" hidden="false" customHeight="true" outlineLevel="0" collapsed="false">
      <c r="A14" s="2" t="s">
        <v>17</v>
      </c>
      <c r="B14" s="3"/>
      <c r="C14" s="3"/>
      <c r="D14" s="3"/>
      <c r="E14" s="3"/>
      <c r="F14" s="3"/>
    </row>
    <row r="15" customFormat="false" ht="15" hidden="false" customHeight="true" outlineLevel="0" collapsed="false">
      <c r="A15" s="8" t="s">
        <v>18</v>
      </c>
      <c r="B15" s="8" t="s">
        <v>78</v>
      </c>
      <c r="C15" s="8" t="s">
        <v>20</v>
      </c>
      <c r="D15" s="8" t="s">
        <v>21</v>
      </c>
      <c r="E15" s="8" t="s">
        <v>22</v>
      </c>
    </row>
    <row r="16" customFormat="false" ht="15" hidden="false" customHeight="true" outlineLevel="0" collapsed="false">
      <c r="A16" s="4" t="s">
        <v>79</v>
      </c>
      <c r="B16" s="9" t="n">
        <v>20</v>
      </c>
      <c r="C16" s="10" t="n">
        <f aca="false">$B$7</f>
        <v>16.15</v>
      </c>
      <c r="D16" s="10" t="n">
        <f aca="false">B16*C16</f>
        <v>323</v>
      </c>
      <c r="E16" s="11" t="n">
        <f aca="false">(D16-$B$4)/$B$4</f>
        <v>-0.0744985673352436</v>
      </c>
    </row>
    <row r="17" customFormat="false" ht="15" hidden="false" customHeight="true" outlineLevel="0" collapsed="false">
      <c r="A17" s="4" t="s">
        <v>80</v>
      </c>
      <c r="B17" s="9" t="n">
        <v>21.5</v>
      </c>
      <c r="C17" s="10" t="n">
        <f aca="false">$B$7</f>
        <v>16.15</v>
      </c>
      <c r="D17" s="10" t="n">
        <f aca="false">B17*C17</f>
        <v>347.225</v>
      </c>
      <c r="E17" s="11" t="n">
        <f aca="false">(D17-$B$4)/$B$4</f>
        <v>-0.00508595988538692</v>
      </c>
    </row>
    <row r="18" customFormat="false" ht="15" hidden="false" customHeight="true" outlineLevel="0" collapsed="false">
      <c r="A18" s="4" t="s">
        <v>81</v>
      </c>
      <c r="B18" s="9" t="n">
        <v>24</v>
      </c>
      <c r="C18" s="10" t="n">
        <f aca="false">$B$7</f>
        <v>16.15</v>
      </c>
      <c r="D18" s="10" t="n">
        <f aca="false">B18*C18</f>
        <v>387.6</v>
      </c>
      <c r="E18" s="11" t="n">
        <f aca="false">(D18-$B$4)/$B$4</f>
        <v>0.110601719197708</v>
      </c>
    </row>
    <row r="20" customFormat="false" ht="15" hidden="false" customHeight="true" outlineLevel="0" collapsed="false">
      <c r="A20" s="2" t="s">
        <v>26</v>
      </c>
      <c r="B20" s="3"/>
      <c r="C20" s="3"/>
      <c r="D20" s="3"/>
      <c r="E20" s="3"/>
      <c r="F20" s="3"/>
    </row>
    <row r="21" customFormat="false" ht="15" hidden="false" customHeight="true" outlineLevel="0" collapsed="false">
      <c r="A21" s="8" t="s">
        <v>18</v>
      </c>
      <c r="B21" s="8" t="s">
        <v>27</v>
      </c>
      <c r="C21" s="8" t="s">
        <v>28</v>
      </c>
      <c r="D21" s="8" t="s">
        <v>61</v>
      </c>
      <c r="E21" s="8" t="s">
        <v>30</v>
      </c>
      <c r="F21" s="8" t="s">
        <v>31</v>
      </c>
    </row>
    <row r="22" customFormat="false" ht="15" hidden="false" customHeight="true" outlineLevel="0" collapsed="false">
      <c r="A22" s="4" t="s">
        <v>32</v>
      </c>
      <c r="B22" s="9" t="n">
        <v>14</v>
      </c>
      <c r="C22" s="12" t="n">
        <f aca="false">$B$8</f>
        <v>6429</v>
      </c>
      <c r="D22" s="12" t="n">
        <f aca="false">B22*C22</f>
        <v>90006</v>
      </c>
      <c r="E22" s="12" t="n">
        <f aca="false">$B$12</f>
        <v>5700</v>
      </c>
      <c r="F22" s="10" t="n">
        <f aca="false">(D22-E22)/$B$5</f>
        <v>311.782544378698</v>
      </c>
    </row>
    <row r="23" customFormat="false" ht="15" hidden="false" customHeight="true" outlineLevel="0" collapsed="false">
      <c r="A23" s="4" t="s">
        <v>33</v>
      </c>
      <c r="B23" s="9" t="n">
        <v>16.3</v>
      </c>
      <c r="C23" s="12" t="n">
        <f aca="false">$B$8</f>
        <v>6429</v>
      </c>
      <c r="D23" s="12" t="n">
        <f aca="false">B23*C23</f>
        <v>104792.7</v>
      </c>
      <c r="E23" s="12" t="n">
        <f aca="false">$B$12</f>
        <v>5700</v>
      </c>
      <c r="F23" s="10" t="n">
        <f aca="false">(D23-E23)/$B$5</f>
        <v>366.467085798817</v>
      </c>
    </row>
    <row r="24" customFormat="false" ht="15" hidden="false" customHeight="true" outlineLevel="0" collapsed="false">
      <c r="A24" s="4" t="s">
        <v>34</v>
      </c>
      <c r="B24" s="9" t="n">
        <v>18.5</v>
      </c>
      <c r="C24" s="12" t="n">
        <f aca="false">$B$8</f>
        <v>6429</v>
      </c>
      <c r="D24" s="12" t="n">
        <f aca="false">B24*C24</f>
        <v>118936.5</v>
      </c>
      <c r="E24" s="12" t="n">
        <f aca="false">$B$12</f>
        <v>5700</v>
      </c>
      <c r="F24" s="10" t="n">
        <f aca="false">(D24-E24)/$B$5</f>
        <v>418.774038461539</v>
      </c>
    </row>
    <row r="26" customFormat="false" ht="15" hidden="false" customHeight="true" outlineLevel="0" collapsed="false">
      <c r="A26" s="2" t="s">
        <v>82</v>
      </c>
      <c r="B26" s="3"/>
      <c r="C26" s="3"/>
      <c r="D26" s="3"/>
      <c r="E26" s="3"/>
      <c r="F26" s="3"/>
    </row>
    <row r="27" customFormat="false" ht="15" hidden="false" customHeight="true" outlineLevel="0" collapsed="false">
      <c r="A27" s="4" t="s">
        <v>83</v>
      </c>
      <c r="B27" s="14" t="n">
        <f aca="false">AVERAGE(D17,F23)</f>
        <v>356.846042899408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84</v>
      </c>
      <c r="B1" s="3"/>
      <c r="C1" s="3"/>
      <c r="D1" s="3"/>
      <c r="E1" s="3"/>
      <c r="F1" s="3"/>
    </row>
    <row r="3" customFormat="false" ht="15" hidden="false" customHeight="true" outlineLevel="0" collapsed="false">
      <c r="A3" s="2" t="s">
        <v>48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n">
        <v>282</v>
      </c>
      <c r="F4" s="6" t="s">
        <v>85</v>
      </c>
    </row>
    <row r="5" customFormat="false" ht="15" hidden="false" customHeight="true" outlineLevel="0" collapsed="false">
      <c r="A5" s="4" t="s">
        <v>86</v>
      </c>
      <c r="B5" s="7" t="n">
        <v>361</v>
      </c>
      <c r="F5" s="6" t="s">
        <v>87</v>
      </c>
    </row>
    <row r="6" customFormat="false" ht="15" hidden="false" customHeight="true" outlineLevel="0" collapsed="false">
      <c r="A6" s="4" t="s">
        <v>88</v>
      </c>
      <c r="B6" s="5" t="n">
        <v>9.39</v>
      </c>
      <c r="F6" s="6" t="s">
        <v>89</v>
      </c>
    </row>
    <row r="7" customFormat="false" ht="15" hidden="false" customHeight="true" outlineLevel="0" collapsed="false">
      <c r="A7" s="4" t="s">
        <v>8</v>
      </c>
      <c r="B7" s="5" t="n">
        <v>11.37</v>
      </c>
      <c r="F7" s="6" t="s">
        <v>90</v>
      </c>
    </row>
    <row r="8" customFormat="false" ht="15" hidden="false" customHeight="true" outlineLevel="0" collapsed="false">
      <c r="A8" s="4" t="s">
        <v>91</v>
      </c>
      <c r="B8" s="7" t="n">
        <v>36600</v>
      </c>
      <c r="F8" s="6" t="s">
        <v>92</v>
      </c>
    </row>
    <row r="9" customFormat="false" ht="15" hidden="false" customHeight="true" outlineLevel="0" collapsed="false">
      <c r="A9" s="4" t="s">
        <v>93</v>
      </c>
      <c r="B9" s="7" t="n">
        <v>7830</v>
      </c>
      <c r="F9" s="6" t="s">
        <v>94</v>
      </c>
    </row>
    <row r="10" customFormat="false" ht="15" hidden="false" customHeight="true" outlineLevel="0" collapsed="false">
      <c r="A10" s="4" t="s">
        <v>95</v>
      </c>
      <c r="B10" s="7" t="n">
        <v>113000</v>
      </c>
      <c r="F10" s="6" t="s">
        <v>96</v>
      </c>
    </row>
    <row r="11" customFormat="false" ht="15" hidden="false" customHeight="true" outlineLevel="0" collapsed="false">
      <c r="A11" s="4" t="s">
        <v>97</v>
      </c>
      <c r="B11" s="5" t="n">
        <v>2</v>
      </c>
      <c r="F11" s="6" t="s">
        <v>98</v>
      </c>
    </row>
    <row r="13" customFormat="false" ht="15" hidden="false" customHeight="true" outlineLevel="0" collapsed="false">
      <c r="A13" s="2" t="s">
        <v>17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8" t="s">
        <v>18</v>
      </c>
      <c r="B14" s="8" t="s">
        <v>78</v>
      </c>
      <c r="C14" s="8" t="s">
        <v>20</v>
      </c>
      <c r="D14" s="8" t="s">
        <v>21</v>
      </c>
      <c r="E14" s="8" t="s">
        <v>22</v>
      </c>
    </row>
    <row r="15" customFormat="false" ht="15" hidden="false" customHeight="true" outlineLevel="0" collapsed="false">
      <c r="A15" s="4" t="s">
        <v>99</v>
      </c>
      <c r="B15" s="9" t="n">
        <v>22</v>
      </c>
      <c r="C15" s="10" t="n">
        <f aca="false">$B$7</f>
        <v>11.37</v>
      </c>
      <c r="D15" s="10" t="n">
        <f aca="false">B15*C15</f>
        <v>250.14</v>
      </c>
      <c r="E15" s="11" t="n">
        <f aca="false">(D15-$B$4)/$B$4</f>
        <v>-0.112978723404255</v>
      </c>
    </row>
    <row r="16" customFormat="false" ht="15" hidden="false" customHeight="true" outlineLevel="0" collapsed="false">
      <c r="A16" s="4" t="s">
        <v>100</v>
      </c>
      <c r="B16" s="9" t="n">
        <v>29</v>
      </c>
      <c r="C16" s="10" t="n">
        <f aca="false">$B$7</f>
        <v>11.37</v>
      </c>
      <c r="D16" s="10" t="n">
        <f aca="false">B16*C16</f>
        <v>329.73</v>
      </c>
      <c r="E16" s="11" t="n">
        <f aca="false">(D16-$B$4)/$B$4</f>
        <v>0.169255319148936</v>
      </c>
    </row>
    <row r="17" customFormat="false" ht="15" hidden="false" customHeight="true" outlineLevel="0" collapsed="false">
      <c r="A17" s="4" t="s">
        <v>101</v>
      </c>
      <c r="B17" s="9" t="n">
        <v>35</v>
      </c>
      <c r="C17" s="10" t="n">
        <f aca="false">$B$7</f>
        <v>11.37</v>
      </c>
      <c r="D17" s="10" t="n">
        <f aca="false">B17*C17</f>
        <v>397.95</v>
      </c>
      <c r="E17" s="11" t="n">
        <f aca="false">(D17-$B$4)/$B$4</f>
        <v>0.411170212765957</v>
      </c>
    </row>
    <row r="19" customFormat="false" ht="15" hidden="false" customHeight="true" outlineLevel="0" collapsed="false">
      <c r="A19" s="2" t="s">
        <v>26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8" t="s">
        <v>18</v>
      </c>
      <c r="B20" s="8" t="s">
        <v>27</v>
      </c>
      <c r="C20" s="8" t="s">
        <v>28</v>
      </c>
      <c r="D20" s="8" t="s">
        <v>61</v>
      </c>
      <c r="E20" s="8" t="s">
        <v>102</v>
      </c>
      <c r="F20" s="8" t="s">
        <v>31</v>
      </c>
    </row>
    <row r="21" customFormat="false" ht="15" hidden="false" customHeight="true" outlineLevel="0" collapsed="false">
      <c r="A21" s="4" t="s">
        <v>32</v>
      </c>
      <c r="B21" s="9" t="n">
        <v>14</v>
      </c>
      <c r="C21" s="12" t="n">
        <f aca="false">$B$9</f>
        <v>7830</v>
      </c>
      <c r="D21" s="12" t="n">
        <f aca="false">B21*C21</f>
        <v>109620</v>
      </c>
      <c r="E21" s="12" t="n">
        <f aca="false">$B$10-$B$4*$B$5</f>
        <v>11198</v>
      </c>
      <c r="F21" s="10" t="n">
        <f aca="false">(D21-E21)/$B$5</f>
        <v>272.637119113573</v>
      </c>
    </row>
    <row r="22" customFormat="false" ht="15" hidden="false" customHeight="true" outlineLevel="0" collapsed="false">
      <c r="A22" s="4" t="s">
        <v>33</v>
      </c>
      <c r="B22" s="9" t="n">
        <v>18</v>
      </c>
      <c r="C22" s="12" t="n">
        <f aca="false">$B$9</f>
        <v>7830</v>
      </c>
      <c r="D22" s="12" t="n">
        <f aca="false">B22*C22</f>
        <v>140940</v>
      </c>
      <c r="E22" s="12" t="n">
        <f aca="false">$B$10-$B$4*$B$5</f>
        <v>11198</v>
      </c>
      <c r="F22" s="10" t="n">
        <f aca="false">(D22-E22)/$B$5</f>
        <v>359.396121883657</v>
      </c>
    </row>
    <row r="23" customFormat="false" ht="15" hidden="false" customHeight="true" outlineLevel="0" collapsed="false">
      <c r="A23" s="4" t="s">
        <v>34</v>
      </c>
      <c r="B23" s="9" t="n">
        <v>22</v>
      </c>
      <c r="C23" s="12" t="n">
        <f aca="false">$B$9</f>
        <v>7830</v>
      </c>
      <c r="D23" s="12" t="n">
        <f aca="false">B23*C23</f>
        <v>172260</v>
      </c>
      <c r="E23" s="12" t="n">
        <f aca="false">$B$10-$B$4*$B$5</f>
        <v>11198</v>
      </c>
      <c r="F23" s="10" t="n">
        <f aca="false">(D23-E23)/$B$5</f>
        <v>446.15512465374</v>
      </c>
    </row>
    <row r="25" customFormat="false" ht="15" hidden="false" customHeight="true" outlineLevel="0" collapsed="false">
      <c r="A25" s="2" t="s">
        <v>82</v>
      </c>
      <c r="B25" s="3"/>
      <c r="C25" s="3"/>
      <c r="D25" s="3"/>
      <c r="E25" s="3"/>
      <c r="F25" s="3"/>
    </row>
    <row r="26" customFormat="false" ht="15" hidden="false" customHeight="true" outlineLevel="0" collapsed="false">
      <c r="A26" s="4" t="s">
        <v>103</v>
      </c>
      <c r="B26" s="14" t="n">
        <f aca="false">AVERAGE(D18,F22)</f>
        <v>359.396121883657</v>
      </c>
    </row>
    <row r="27" customFormat="false" ht="15" hidden="false" customHeight="false" outlineLevel="0" collapsed="false">
      <c r="B27" s="1" t="n">
        <f aca="false">AVERAGE(D16,F22)</f>
        <v>344.563060941828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0"/>
    <col collapsed="false" customWidth="true" hidden="false" outlineLevel="0" max="2" min="2" style="1" width="18"/>
    <col collapsed="false" customWidth="true" hidden="false" outlineLevel="0" max="5" min="3" style="1" width="14"/>
    <col collapsed="false" customWidth="true" hidden="false" outlineLevel="0" max="6" min="6" style="1" width="30"/>
  </cols>
  <sheetData>
    <row r="1" customFormat="false" ht="15" hidden="false" customHeight="true" outlineLevel="0" collapsed="false">
      <c r="A1" s="2" t="s">
        <v>104</v>
      </c>
      <c r="B1" s="3"/>
      <c r="C1" s="3"/>
      <c r="D1" s="3"/>
      <c r="E1" s="3"/>
      <c r="F1" s="3"/>
    </row>
    <row r="3" customFormat="false" ht="15" hidden="false" customHeight="true" outlineLevel="0" collapsed="false">
      <c r="A3" s="2" t="s">
        <v>48</v>
      </c>
      <c r="B3" s="3"/>
      <c r="C3" s="3"/>
      <c r="D3" s="3"/>
      <c r="E3" s="3"/>
      <c r="F3" s="3"/>
    </row>
    <row r="4" customFormat="false" ht="15" hidden="false" customHeight="true" outlineLevel="0" collapsed="false">
      <c r="A4" s="4" t="s">
        <v>2</v>
      </c>
      <c r="B4" s="5" t="n">
        <v>25.7</v>
      </c>
      <c r="F4" s="6" t="s">
        <v>105</v>
      </c>
    </row>
    <row r="5" customFormat="false" ht="15" hidden="false" customHeight="true" outlineLevel="0" collapsed="false">
      <c r="A5" s="4" t="s">
        <v>4</v>
      </c>
      <c r="B5" s="7" t="n">
        <v>292</v>
      </c>
      <c r="F5" s="6" t="s">
        <v>5</v>
      </c>
    </row>
    <row r="6" customFormat="false" ht="15" hidden="false" customHeight="true" outlineLevel="0" collapsed="false">
      <c r="A6" s="4" t="s">
        <v>106</v>
      </c>
      <c r="B6" s="7" t="n">
        <v>547</v>
      </c>
      <c r="F6" s="6" t="s">
        <v>107</v>
      </c>
    </row>
    <row r="7" customFormat="false" ht="15" hidden="false" customHeight="true" outlineLevel="0" collapsed="false">
      <c r="A7" s="4" t="s">
        <v>108</v>
      </c>
      <c r="B7" s="7" t="n">
        <v>600</v>
      </c>
      <c r="F7" s="6" t="s">
        <v>109</v>
      </c>
    </row>
    <row r="8" customFormat="false" ht="15" hidden="false" customHeight="true" outlineLevel="0" collapsed="false">
      <c r="A8" s="4" t="s">
        <v>110</v>
      </c>
      <c r="B8" s="15" t="n">
        <v>16</v>
      </c>
      <c r="F8" s="6" t="s">
        <v>111</v>
      </c>
    </row>
    <row r="9" customFormat="false" ht="15" hidden="false" customHeight="true" outlineLevel="0" collapsed="false">
      <c r="A9" s="4" t="s">
        <v>112</v>
      </c>
      <c r="B9" s="7" t="n">
        <v>500</v>
      </c>
      <c r="F9" s="6" t="s">
        <v>113</v>
      </c>
    </row>
    <row r="10" customFormat="false" ht="15" hidden="false" customHeight="true" outlineLevel="0" collapsed="false">
      <c r="A10" s="4" t="s">
        <v>114</v>
      </c>
      <c r="B10" s="7" t="n">
        <v>4500</v>
      </c>
      <c r="F10" s="6" t="s">
        <v>115</v>
      </c>
    </row>
    <row r="11" customFormat="false" ht="15" hidden="false" customHeight="true" outlineLevel="0" collapsed="false">
      <c r="A11" s="4" t="s">
        <v>116</v>
      </c>
      <c r="B11" s="7" t="n">
        <v>2300</v>
      </c>
      <c r="F11" s="6" t="s">
        <v>109</v>
      </c>
    </row>
    <row r="13" customFormat="false" ht="15" hidden="false" customHeight="true" outlineLevel="0" collapsed="false">
      <c r="A13" s="2" t="s">
        <v>117</v>
      </c>
      <c r="B13" s="3"/>
      <c r="C13" s="3"/>
      <c r="D13" s="3"/>
      <c r="E13" s="3"/>
      <c r="F13" s="3"/>
    </row>
    <row r="14" customFormat="false" ht="15" hidden="false" customHeight="true" outlineLevel="0" collapsed="false">
      <c r="A14" s="8" t="s">
        <v>18</v>
      </c>
      <c r="B14" s="8" t="s">
        <v>118</v>
      </c>
      <c r="C14" s="8" t="s">
        <v>119</v>
      </c>
      <c r="D14" s="8" t="s">
        <v>120</v>
      </c>
      <c r="E14" s="8" t="s">
        <v>121</v>
      </c>
      <c r="F14" s="8" t="s">
        <v>31</v>
      </c>
    </row>
    <row r="15" customFormat="false" ht="15" hidden="false" customHeight="true" outlineLevel="0" collapsed="false">
      <c r="A15" s="4" t="s">
        <v>122</v>
      </c>
      <c r="B15" s="4" t="s">
        <v>123</v>
      </c>
      <c r="C15" s="9" t="n">
        <v>6</v>
      </c>
      <c r="D15" s="12" t="n">
        <f aca="false">$B$6</f>
        <v>547</v>
      </c>
      <c r="E15" s="12" t="n">
        <f aca="false">C15*D15-$B$10+$B$11</f>
        <v>1082</v>
      </c>
      <c r="F15" s="10" t="n">
        <f aca="false">E15/$B$5</f>
        <v>3.70547945205479</v>
      </c>
    </row>
    <row r="16" customFormat="false" ht="15" hidden="false" customHeight="true" outlineLevel="0" collapsed="false">
      <c r="A16" s="4" t="s">
        <v>124</v>
      </c>
      <c r="B16" s="4" t="s">
        <v>125</v>
      </c>
      <c r="C16" s="13" t="n">
        <v>0.065</v>
      </c>
      <c r="D16" s="12" t="n">
        <f aca="false">$B$9</f>
        <v>500</v>
      </c>
      <c r="E16" s="12" t="n">
        <f aca="false">D16/C16-$B$10+$B$11</f>
        <v>5492.30769230769</v>
      </c>
      <c r="F16" s="10" t="n">
        <f aca="false">E16/$B$5</f>
        <v>18.809272918862</v>
      </c>
    </row>
    <row r="17" customFormat="false" ht="15" hidden="false" customHeight="true" outlineLevel="0" collapsed="false">
      <c r="A17" s="4" t="s">
        <v>126</v>
      </c>
      <c r="B17" s="4" t="s">
        <v>127</v>
      </c>
      <c r="C17" s="16" t="n">
        <v>18</v>
      </c>
      <c r="D17" s="12" t="n">
        <f aca="false">$B$7</f>
        <v>600</v>
      </c>
      <c r="E17" s="12" t="n">
        <f aca="false">C17*D17-$B$10+$B$11</f>
        <v>8600</v>
      </c>
      <c r="F17" s="10" t="n">
        <f aca="false">E17/$B$5</f>
        <v>29.4520547945206</v>
      </c>
    </row>
    <row r="19" customFormat="false" ht="15" hidden="false" customHeight="true" outlineLevel="0" collapsed="false">
      <c r="A19" s="2" t="s">
        <v>128</v>
      </c>
      <c r="B19" s="3"/>
      <c r="C19" s="3"/>
      <c r="D19" s="3"/>
      <c r="E19" s="3"/>
      <c r="F19" s="3"/>
    </row>
    <row r="20" customFormat="false" ht="15" hidden="false" customHeight="true" outlineLevel="0" collapsed="false">
      <c r="A20" s="4" t="s">
        <v>67</v>
      </c>
      <c r="B20" s="14" t="n">
        <f aca="false">F15</f>
        <v>3.70547945205479</v>
      </c>
      <c r="C20" s="14" t="n">
        <f aca="false">F16</f>
        <v>18.809272918862</v>
      </c>
      <c r="D20" s="14" t="n">
        <f aca="false">F17</f>
        <v>29.4520547945206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2026-03-28T00:16:48Z</dcterms:created>
  <dc:creator>openpyxl</dc:creator>
  <dc:description/>
  <dc:language>en-US</dc:language>
  <cp:lastModifiedBy/>
  <dcterms:modified xsi:type="dcterms:W3CDTF">2026-03-28T00:17:29Z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